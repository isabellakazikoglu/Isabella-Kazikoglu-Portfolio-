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/>
  <xr:revisionPtr revIDLastSave="0" documentId="8_{F510218A-29D1-4016-BFCC-1A8B2309CC0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atios" sheetId="3" r:id="rId1"/>
    <sheet name="Vertical Analysis" sheetId="2" r:id="rId2"/>
    <sheet name="Horizontal Analysis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3" l="1"/>
  <c r="H7" i="3"/>
  <c r="D16" i="3"/>
  <c r="D4" i="2"/>
  <c r="D5" i="2"/>
  <c r="D6" i="2"/>
  <c r="D7" i="2"/>
  <c r="D8" i="2"/>
  <c r="D9" i="2"/>
  <c r="D10" i="2"/>
  <c r="D11" i="2"/>
  <c r="D12" i="2"/>
  <c r="D13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2" i="2"/>
  <c r="D33" i="2"/>
  <c r="D34" i="2"/>
  <c r="D35" i="2"/>
  <c r="D36" i="2"/>
  <c r="D37" i="2"/>
  <c r="D38" i="2"/>
  <c r="D39" i="2"/>
  <c r="D40" i="2"/>
  <c r="D41" i="2"/>
  <c r="D42" i="2"/>
  <c r="D3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0" i="1"/>
  <c r="H22" i="1"/>
  <c r="H23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2" i="1"/>
  <c r="G23" i="1"/>
  <c r="G4" i="1"/>
  <c r="H4" i="1"/>
  <c r="D20" i="3"/>
  <c r="D21" i="3"/>
  <c r="H15" i="3"/>
  <c r="D2" i="3"/>
  <c r="D14" i="3"/>
  <c r="D15" i="3"/>
  <c r="D7" i="3"/>
  <c r="D8" i="3"/>
  <c r="D11" i="3"/>
  <c r="D10" i="3"/>
  <c r="D9" i="3"/>
  <c r="D12" i="3"/>
  <c r="D13" i="3"/>
  <c r="D5" i="3"/>
  <c r="D6" i="3" s="1"/>
  <c r="D3" i="3"/>
  <c r="D4" i="3"/>
</calcChain>
</file>

<file path=xl/sharedStrings.xml><?xml version="1.0" encoding="utf-8"?>
<sst xmlns="http://schemas.openxmlformats.org/spreadsheetml/2006/main" count="157" uniqueCount="129">
  <si>
    <t>Ratio</t>
  </si>
  <si>
    <t>Formula</t>
  </si>
  <si>
    <t>KMB 2024</t>
  </si>
  <si>
    <t>Answer ($ in Millions)</t>
  </si>
  <si>
    <t>Liabilities 2024 ($ in Millions)</t>
  </si>
  <si>
    <t>Working Capital</t>
  </si>
  <si>
    <t>Current Assets - Current Liabilities</t>
  </si>
  <si>
    <t>5580 - 7004</t>
  </si>
  <si>
    <t>Current Liabilities</t>
  </si>
  <si>
    <t>Current Ratio</t>
  </si>
  <si>
    <t>Current Assets/Current Liabilites</t>
  </si>
  <si>
    <t>5580/7004</t>
  </si>
  <si>
    <t>Long Term Debt</t>
  </si>
  <si>
    <t>Average Inventory</t>
  </si>
  <si>
    <t>(Beginning Inventory + Ending Inventory) / 2</t>
  </si>
  <si>
    <t>(1955 + 1822) /2</t>
  </si>
  <si>
    <t>Noncurrent Employee Benefits</t>
  </si>
  <si>
    <t>Inventory Turnover</t>
  </si>
  <si>
    <t>Costs of Goods Sold/ Average Inventory</t>
  </si>
  <si>
    <t>12,878/1888.5</t>
  </si>
  <si>
    <t>Deferred Income Taxes</t>
  </si>
  <si>
    <t>Days in Inventory</t>
  </si>
  <si>
    <t>365 Days/ Inventory turnover</t>
  </si>
  <si>
    <t>365/ 6.819168652</t>
  </si>
  <si>
    <t>Other Liabilities</t>
  </si>
  <si>
    <t>Accounts Recievable turnover</t>
  </si>
  <si>
    <t xml:space="preserve">Net Credit Sales/Average net accounts receivable </t>
  </si>
  <si>
    <t>20058/ 2072</t>
  </si>
  <si>
    <t>Total Liabilities</t>
  </si>
  <si>
    <t>Average Net Accounts Receivable</t>
  </si>
  <si>
    <t>(Beginning Net Accounts Receivable + Ending Net Accounts Receivable) / 2</t>
  </si>
  <si>
    <t>(2135 + 2009) / 2</t>
  </si>
  <si>
    <t>Debts to Assets</t>
  </si>
  <si>
    <t xml:space="preserve">Total Liabilities/Total Assets </t>
  </si>
  <si>
    <t>15534/16546</t>
  </si>
  <si>
    <t xml:space="preserve">Liabilities 2023 ($ in Millions) </t>
  </si>
  <si>
    <t xml:space="preserve">Free Cash Flow </t>
  </si>
  <si>
    <t>Net Cash Provided by operating activies - Capital Expenditures - Cash Dividends</t>
  </si>
  <si>
    <t>3234-721-1628</t>
  </si>
  <si>
    <t xml:space="preserve"> Price Earnings Ratio</t>
  </si>
  <si>
    <t>Market Price Per share/ Earnings Per Share</t>
  </si>
  <si>
    <t>131.15/7.55</t>
  </si>
  <si>
    <t xml:space="preserve">Gross Profit Rate </t>
  </si>
  <si>
    <t>Gross Profit/Net sales</t>
  </si>
  <si>
    <t>7180/20058</t>
  </si>
  <si>
    <t xml:space="preserve">Profit Margin </t>
  </si>
  <si>
    <t>Net income/Net Sales</t>
  </si>
  <si>
    <t>2545/20058</t>
  </si>
  <si>
    <t xml:space="preserve">Return on Assets </t>
  </si>
  <si>
    <t>Net income/Average total assets</t>
  </si>
  <si>
    <t>2545/ 16945</t>
  </si>
  <si>
    <t>Average Total Assets</t>
  </si>
  <si>
    <t>(Beginning Total Assets + Ending Total Assets) / 2</t>
  </si>
  <si>
    <t>(17344+16546)/2</t>
  </si>
  <si>
    <t>Asset Turnover</t>
  </si>
  <si>
    <t>Net Sales/ Average Total Assets</t>
  </si>
  <si>
    <t>20058/16945</t>
  </si>
  <si>
    <t>KMB 2023</t>
  </si>
  <si>
    <t>Net Income / Net Sales</t>
  </si>
  <si>
    <t>1764/ 20431</t>
  </si>
  <si>
    <t xml:space="preserve">Debts to Assets </t>
  </si>
  <si>
    <t>16250/17344</t>
  </si>
  <si>
    <t>3542 - 766 - 1588</t>
  </si>
  <si>
    <t>Consolidated Balance Sheet - USD ($)
$ in Millions</t>
  </si>
  <si>
    <t>Dec. 31, 2024</t>
  </si>
  <si>
    <t>Current Assets</t>
  </si>
  <si>
    <t> </t>
  </si>
  <si>
    <t>% of Assets</t>
  </si>
  <si>
    <t>Cash and cash equivalents</t>
  </si>
  <si>
    <t>Accounts receivable, net</t>
  </si>
  <si>
    <t>Inventories</t>
  </si>
  <si>
    <t>Summary of Other Current Assets</t>
  </si>
  <si>
    <t>Property, Plant and Equipment, Net</t>
  </si>
  <si>
    <t>Investments in Equity Companies</t>
  </si>
  <si>
    <t>Goodwill</t>
  </si>
  <si>
    <t>Other Intangible Assets, Net</t>
  </si>
  <si>
    <t>Other Assets</t>
  </si>
  <si>
    <t>TOTAL ASSETS</t>
  </si>
  <si>
    <t>Debt payable within one year</t>
  </si>
  <si>
    <t>Trade accounts payable</t>
  </si>
  <si>
    <t>Accrued expenses and other current liabilities</t>
  </si>
  <si>
    <t>Dividends payable</t>
  </si>
  <si>
    <t>Long-Term Debt</t>
  </si>
  <si>
    <t>Redeemable Preferred Securities of Subsidiaries</t>
  </si>
  <si>
    <t>Preferred stock, par value per share</t>
  </si>
  <si>
    <t>Preferred stock, shares issued</t>
  </si>
  <si>
    <t>Preferred stock, shares authorized</t>
  </si>
  <si>
    <t>Common stock, shares authorized</t>
  </si>
  <si>
    <t>Common stock, shares issued</t>
  </si>
  <si>
    <t>Common stock, par value per share</t>
  </si>
  <si>
    <t>Stockholders' Equity</t>
  </si>
  <si>
    <t>Preferred stock - no par value - authorized 20.0 million shares, none issued</t>
  </si>
  <si>
    <t>Common stock - $1.25 par value - authorized 1,200.0 million shares; issued 378.6 million shares as of December 31, 2024 and 2023</t>
  </si>
  <si>
    <t>Additional paid-in capital</t>
  </si>
  <si>
    <t>Common stock held in treasury, at cost - 46.8 and 41.6 million shares as of December 31, 2024 and 2023, respectively</t>
  </si>
  <si>
    <t>Treasury Stock, Value</t>
  </si>
  <si>
    <t>Retained earnings</t>
  </si>
  <si>
    <t>Accumulated other comprehensive income (loss)</t>
  </si>
  <si>
    <t>Total Kimberly-Clark Corporation Stockholders' Equity</t>
  </si>
  <si>
    <t>Noncontrolling Interests</t>
  </si>
  <si>
    <t>Total Stockholders' Equity</t>
  </si>
  <si>
    <t>TOTAL LIABILITIES AND STOCKHOLDERS' EQUITY</t>
  </si>
  <si>
    <t>Consolidated Income Statement - USD ($)
$ in Millions</t>
  </si>
  <si>
    <t>12 Months Ended</t>
  </si>
  <si>
    <t>Dec. 31, 2023</t>
  </si>
  <si>
    <t>Dec. 31, 2022</t>
  </si>
  <si>
    <t>Income Statement [Abstract]</t>
  </si>
  <si>
    <t>$</t>
  </si>
  <si>
    <t>%</t>
  </si>
  <si>
    <t>Net Sales</t>
  </si>
  <si>
    <t>Cost of Products Sold</t>
  </si>
  <si>
    <t>Gross Profit</t>
  </si>
  <si>
    <t>Marketing, research and general expenses</t>
  </si>
  <si>
    <t>Impairment of intangible assets</t>
  </si>
  <si>
    <t>Other (income) and expense, net</t>
  </si>
  <si>
    <t>Operating Profit</t>
  </si>
  <si>
    <t>Nonoperating expense</t>
  </si>
  <si>
    <t>Interest income</t>
  </si>
  <si>
    <t>Interest expense</t>
  </si>
  <si>
    <t>Income Before Income Taxes and Equity Interests</t>
  </si>
  <si>
    <t>Provision for income taxes</t>
  </si>
  <si>
    <t>Income Before Equity Interests</t>
  </si>
  <si>
    <t>Share of net income of equity companies</t>
  </si>
  <si>
    <t>Net income</t>
  </si>
  <si>
    <t>Net income attributable to noncontrolling interests</t>
  </si>
  <si>
    <t>Net Income</t>
  </si>
  <si>
    <t>Earnings Per Share [Abstract]</t>
  </si>
  <si>
    <t>Basic</t>
  </si>
  <si>
    <t>Diluted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</si>
</sst>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_([$$-409]* #,##0.00_);_([$$-409]* \(#,##0.00\);_([$$-409]* &quot;-&quot;??_);_(@_)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u/>
      <sz val="11"/>
      <color theme="10"/>
      <name val="Aptos Narrow"/>
      <family val="2"/>
      <scheme val="minor"/>
    </font>
    <font>
      <b/>
      <sz val="8"/>
      <color rgb="FF000000"/>
      <name val="Helvetica"/>
      <charset val="1"/>
    </font>
    <font>
      <sz val="8"/>
      <color rgb="FF000000"/>
      <name val="Helvetica"/>
      <charset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ACCFF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AACCFF"/>
      </left>
      <right/>
      <top style="thick">
        <color rgb="FFAACCFF"/>
      </top>
      <bottom/>
      <diagonal/>
    </border>
    <border>
      <left style="thick">
        <color rgb="FFAACCFF"/>
      </left>
      <right/>
      <top/>
      <bottom/>
      <diagonal/>
    </border>
    <border>
      <left/>
      <right style="thick">
        <color rgb="FFAACCFF"/>
      </right>
      <top style="thick">
        <color rgb="FFAACCFF"/>
      </top>
      <bottom/>
      <diagonal/>
    </border>
    <border>
      <left/>
      <right/>
      <top style="thick">
        <color rgb="FFAACCFF"/>
      </top>
      <bottom/>
      <diagonal/>
    </border>
    <border>
      <left/>
      <right style="thick">
        <color rgb="FFAACCFF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ck">
        <color rgb="FFAACCFF"/>
      </right>
      <top/>
      <bottom style="thin">
        <color rgb="FF000000"/>
      </bottom>
      <diagonal/>
    </border>
    <border>
      <left style="thick">
        <color rgb="FFAACCFF"/>
      </left>
      <right/>
      <top/>
      <bottom style="thick">
        <color rgb="FFAACCFF"/>
      </bottom>
      <diagonal/>
    </border>
    <border>
      <left/>
      <right/>
      <top/>
      <bottom style="thick">
        <color rgb="FFAACCFF"/>
      </bottom>
      <diagonal/>
    </border>
    <border>
      <left/>
      <right style="thick">
        <color rgb="FFAACCFF"/>
      </right>
      <top/>
      <bottom style="thick">
        <color rgb="FFAACCF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1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9" fontId="0" fillId="3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5" borderId="7" xfId="0" applyFont="1" applyFill="1" applyBorder="1" applyAlignment="1">
      <alignment wrapText="1"/>
    </xf>
    <xf numFmtId="0" fontId="5" fillId="5" borderId="0" xfId="0" applyFont="1" applyFill="1"/>
    <xf numFmtId="0" fontId="5" fillId="5" borderId="11" xfId="0" applyFont="1" applyFill="1" applyBorder="1"/>
    <xf numFmtId="0" fontId="4" fillId="6" borderId="8" xfId="1" applyFill="1" applyBorder="1" applyAlignment="1">
      <alignment wrapText="1"/>
    </xf>
    <xf numFmtId="0" fontId="6" fillId="6" borderId="0" xfId="0" applyFont="1" applyFill="1" applyAlignment="1">
      <alignment wrapText="1"/>
    </xf>
    <xf numFmtId="0" fontId="6" fillId="6" borderId="11" xfId="0" applyFont="1" applyFill="1" applyBorder="1" applyAlignment="1">
      <alignment wrapText="1"/>
    </xf>
    <xf numFmtId="0" fontId="4" fillId="7" borderId="8" xfId="1" applyFill="1" applyBorder="1" applyAlignment="1">
      <alignment wrapText="1"/>
    </xf>
    <xf numFmtId="0" fontId="6" fillId="7" borderId="0" xfId="0" applyFont="1" applyFill="1"/>
    <xf numFmtId="6" fontId="6" fillId="7" borderId="0" xfId="0" applyNumberFormat="1" applyFont="1" applyFill="1"/>
    <xf numFmtId="0" fontId="6" fillId="7" borderId="11" xfId="0" applyFont="1" applyFill="1" applyBorder="1"/>
    <xf numFmtId="6" fontId="6" fillId="7" borderId="11" xfId="0" applyNumberFormat="1" applyFont="1" applyFill="1" applyBorder="1"/>
    <xf numFmtId="0" fontId="6" fillId="6" borderId="0" xfId="0" applyFont="1" applyFill="1"/>
    <xf numFmtId="3" fontId="6" fillId="6" borderId="0" xfId="0" applyNumberFormat="1" applyFont="1" applyFill="1"/>
    <xf numFmtId="0" fontId="6" fillId="6" borderId="11" xfId="0" applyFont="1" applyFill="1" applyBorder="1"/>
    <xf numFmtId="3" fontId="6" fillId="6" borderId="11" xfId="0" applyNumberFormat="1" applyFont="1" applyFill="1" applyBorder="1"/>
    <xf numFmtId="0" fontId="6" fillId="7" borderId="12" xfId="0" applyFont="1" applyFill="1" applyBorder="1"/>
    <xf numFmtId="3" fontId="6" fillId="7" borderId="12" xfId="0" applyNumberFormat="1" applyFont="1" applyFill="1" applyBorder="1"/>
    <xf numFmtId="3" fontId="6" fillId="7" borderId="13" xfId="0" applyNumberFormat="1" applyFont="1" applyFill="1" applyBorder="1"/>
    <xf numFmtId="6" fontId="6" fillId="7" borderId="12" xfId="0" applyNumberFormat="1" applyFont="1" applyFill="1" applyBorder="1"/>
    <xf numFmtId="6" fontId="6" fillId="7" borderId="13" xfId="0" applyNumberFormat="1" applyFont="1" applyFill="1" applyBorder="1"/>
    <xf numFmtId="8" fontId="6" fillId="7" borderId="0" xfId="0" applyNumberFormat="1" applyFont="1" applyFill="1"/>
    <xf numFmtId="8" fontId="6" fillId="7" borderId="11" xfId="0" applyNumberFormat="1" applyFont="1" applyFill="1" applyBorder="1"/>
    <xf numFmtId="0" fontId="4" fillId="6" borderId="14" xfId="1" applyFill="1" applyBorder="1" applyAlignment="1">
      <alignment wrapText="1"/>
    </xf>
    <xf numFmtId="8" fontId="6" fillId="6" borderId="15" xfId="0" applyNumberFormat="1" applyFont="1" applyFill="1" applyBorder="1"/>
    <xf numFmtId="8" fontId="6" fillId="6" borderId="16" xfId="0" applyNumberFormat="1" applyFont="1" applyFill="1" applyBorder="1"/>
    <xf numFmtId="9" fontId="0" fillId="0" borderId="0" xfId="0" applyNumberFormat="1"/>
    <xf numFmtId="0" fontId="5" fillId="5" borderId="10" xfId="0" applyFont="1" applyFill="1" applyBorder="1" applyAlignment="1">
      <alignment wrapText="1"/>
    </xf>
    <xf numFmtId="3" fontId="6" fillId="7" borderId="0" xfId="0" applyNumberFormat="1" applyFont="1" applyFill="1"/>
    <xf numFmtId="6" fontId="6" fillId="6" borderId="0" xfId="0" applyNumberFormat="1" applyFont="1" applyFill="1"/>
    <xf numFmtId="4" fontId="6" fillId="7" borderId="0" xfId="0" applyNumberFormat="1" applyFont="1" applyFill="1"/>
    <xf numFmtId="8" fontId="6" fillId="6" borderId="0" xfId="0" applyNumberFormat="1" applyFont="1" applyFill="1"/>
    <xf numFmtId="0" fontId="6" fillId="7" borderId="0" xfId="0" applyFont="1" applyFill="1" applyAlignment="1">
      <alignment wrapText="1"/>
    </xf>
    <xf numFmtId="6" fontId="6" fillId="6" borderId="15" xfId="0" applyNumberFormat="1" applyFont="1" applyFill="1" applyBorder="1"/>
    <xf numFmtId="9" fontId="0" fillId="4" borderId="0" xfId="0" applyNumberFormat="1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4" fontId="0" fillId="2" borderId="2" xfId="0" applyNumberFormat="1" applyFill="1" applyBorder="1"/>
    <xf numFmtId="164" fontId="0" fillId="2" borderId="4" xfId="0" applyNumberFormat="1" applyFill="1" applyBorder="1"/>
    <xf numFmtId="164" fontId="0" fillId="2" borderId="3" xfId="0" applyNumberFormat="1" applyFill="1" applyBorder="1"/>
    <xf numFmtId="9" fontId="2" fillId="2" borderId="0" xfId="0" applyNumberFormat="1" applyFont="1" applyFill="1" applyAlignment="1">
      <alignment horizontal="center"/>
    </xf>
    <xf numFmtId="9" fontId="0" fillId="2" borderId="0" xfId="0" applyNumberFormat="1" applyFill="1"/>
    <xf numFmtId="0" fontId="0" fillId="2" borderId="0" xfId="0" applyFill="1" applyAlignment="1">
      <alignment horizontal="center" vertical="center"/>
    </xf>
    <xf numFmtId="6" fontId="0" fillId="2" borderId="0" xfId="0" applyNumberFormat="1" applyFill="1" applyAlignment="1">
      <alignment horizontal="center" vertical="center"/>
    </xf>
    <xf numFmtId="9" fontId="0" fillId="2" borderId="0" xfId="0" applyNumberForma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wrapText="1"/>
    </xf>
    <xf numFmtId="0" fontId="5" fillId="5" borderId="10" xfId="0" applyFont="1" applyFill="1" applyBorder="1" applyAlignment="1"/>
    <xf numFmtId="0" fontId="5" fillId="5" borderId="9" xfId="0" applyFont="1" applyFill="1" applyBorder="1" applyAlignment="1"/>
    <xf numFmtId="0" fontId="5" fillId="5" borderId="8" xfId="0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26" Type="http://schemas.openxmlformats.org/officeDocument/2006/relationships/hyperlink" Target="javascript:void(0);" TargetMode="External"/><Relationship Id="rId39" Type="http://schemas.openxmlformats.org/officeDocument/2006/relationships/hyperlink" Target="javascript:void(0);" TargetMode="External"/><Relationship Id="rId21" Type="http://schemas.openxmlformats.org/officeDocument/2006/relationships/hyperlink" Target="javascript:void(0);" TargetMode="External"/><Relationship Id="rId34" Type="http://schemas.openxmlformats.org/officeDocument/2006/relationships/hyperlink" Target="javascript:void(0);" TargetMode="External"/><Relationship Id="rId7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16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29" Type="http://schemas.openxmlformats.org/officeDocument/2006/relationships/hyperlink" Target="javascript:void(0);" TargetMode="External"/><Relationship Id="rId41" Type="http://schemas.openxmlformats.org/officeDocument/2006/relationships/hyperlink" Target="javascript:void(0);" TargetMode="External"/><Relationship Id="rId1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Relationship Id="rId11" Type="http://schemas.openxmlformats.org/officeDocument/2006/relationships/hyperlink" Target="javascript:void(0);" TargetMode="External"/><Relationship Id="rId24" Type="http://schemas.openxmlformats.org/officeDocument/2006/relationships/hyperlink" Target="javascript:void(0);" TargetMode="External"/><Relationship Id="rId32" Type="http://schemas.openxmlformats.org/officeDocument/2006/relationships/hyperlink" Target="javascript:void(0);" TargetMode="External"/><Relationship Id="rId37" Type="http://schemas.openxmlformats.org/officeDocument/2006/relationships/hyperlink" Target="javascript:void(0);" TargetMode="External"/><Relationship Id="rId40" Type="http://schemas.openxmlformats.org/officeDocument/2006/relationships/hyperlink" Target="javascript:void(0);" TargetMode="External"/><Relationship Id="rId5" Type="http://schemas.openxmlformats.org/officeDocument/2006/relationships/hyperlink" Target="javascript:void(0);" TargetMode="External"/><Relationship Id="rId15" Type="http://schemas.openxmlformats.org/officeDocument/2006/relationships/hyperlink" Target="javascript:void(0);" TargetMode="External"/><Relationship Id="rId23" Type="http://schemas.openxmlformats.org/officeDocument/2006/relationships/hyperlink" Target="javascript:void(0);" TargetMode="External"/><Relationship Id="rId28" Type="http://schemas.openxmlformats.org/officeDocument/2006/relationships/hyperlink" Target="javascript:void(0);" TargetMode="External"/><Relationship Id="rId36" Type="http://schemas.openxmlformats.org/officeDocument/2006/relationships/hyperlink" Target="javascript:void(0);" TargetMode="External"/><Relationship Id="rId10" Type="http://schemas.openxmlformats.org/officeDocument/2006/relationships/hyperlink" Target="javascript:void(0);" TargetMode="External"/><Relationship Id="rId19" Type="http://schemas.openxmlformats.org/officeDocument/2006/relationships/hyperlink" Target="javascript:void(0);" TargetMode="External"/><Relationship Id="rId31" Type="http://schemas.openxmlformats.org/officeDocument/2006/relationships/hyperlink" Target="javascript:void(0);" TargetMode="External"/><Relationship Id="rId4" Type="http://schemas.openxmlformats.org/officeDocument/2006/relationships/hyperlink" Target="javascript:void(0);" TargetMode="External"/><Relationship Id="rId9" Type="http://schemas.openxmlformats.org/officeDocument/2006/relationships/hyperlink" Target="javascript:void(0);" TargetMode="External"/><Relationship Id="rId14" Type="http://schemas.openxmlformats.org/officeDocument/2006/relationships/hyperlink" Target="javascript:void(0);" TargetMode="External"/><Relationship Id="rId22" Type="http://schemas.openxmlformats.org/officeDocument/2006/relationships/hyperlink" Target="javascript:void(0);" TargetMode="External"/><Relationship Id="rId27" Type="http://schemas.openxmlformats.org/officeDocument/2006/relationships/hyperlink" Target="javascript:void(0);" TargetMode="External"/><Relationship Id="rId30" Type="http://schemas.openxmlformats.org/officeDocument/2006/relationships/hyperlink" Target="javascript:void(0);" TargetMode="External"/><Relationship Id="rId35" Type="http://schemas.openxmlformats.org/officeDocument/2006/relationships/hyperlink" Target="javascript:void(0);" TargetMode="External"/><Relationship Id="rId8" Type="http://schemas.openxmlformats.org/officeDocument/2006/relationships/hyperlink" Target="javascript:void(0);" TargetMode="External"/><Relationship Id="rId3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17" Type="http://schemas.openxmlformats.org/officeDocument/2006/relationships/hyperlink" Target="javascript:void(0);" TargetMode="External"/><Relationship Id="rId25" Type="http://schemas.openxmlformats.org/officeDocument/2006/relationships/hyperlink" Target="javascript:void(0);" TargetMode="External"/><Relationship Id="rId33" Type="http://schemas.openxmlformats.org/officeDocument/2006/relationships/hyperlink" Target="javascript:void(0);" TargetMode="External"/><Relationship Id="rId38" Type="http://schemas.openxmlformats.org/officeDocument/2006/relationships/hyperlink" Target="javascript:void(0);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javascript:void(0);" TargetMode="External"/><Relationship Id="rId13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3" Type="http://schemas.openxmlformats.org/officeDocument/2006/relationships/hyperlink" Target="javascript:void(0);" TargetMode="External"/><Relationship Id="rId21" Type="http://schemas.openxmlformats.org/officeDocument/2006/relationships/hyperlink" Target="javascript:void(0);" TargetMode="External"/><Relationship Id="rId7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17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16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1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Relationship Id="rId11" Type="http://schemas.openxmlformats.org/officeDocument/2006/relationships/hyperlink" Target="javascript:void(0);" TargetMode="External"/><Relationship Id="rId5" Type="http://schemas.openxmlformats.org/officeDocument/2006/relationships/hyperlink" Target="javascript:void(0);" TargetMode="External"/><Relationship Id="rId15" Type="http://schemas.openxmlformats.org/officeDocument/2006/relationships/hyperlink" Target="javascript:void(0);" TargetMode="External"/><Relationship Id="rId10" Type="http://schemas.openxmlformats.org/officeDocument/2006/relationships/hyperlink" Target="javascript:void(0);" TargetMode="External"/><Relationship Id="rId19" Type="http://schemas.openxmlformats.org/officeDocument/2006/relationships/hyperlink" Target="javascript:void(0);" TargetMode="External"/><Relationship Id="rId4" Type="http://schemas.openxmlformats.org/officeDocument/2006/relationships/hyperlink" Target="javascript:void(0);" TargetMode="External"/><Relationship Id="rId9" Type="http://schemas.openxmlformats.org/officeDocument/2006/relationships/hyperlink" Target="javascript:void(0);" TargetMode="External"/><Relationship Id="rId14" Type="http://schemas.openxmlformats.org/officeDocument/2006/relationships/hyperlink" Target="javascript:void(0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193C7-BC11-46BC-AC0E-8ABD7F99521A}">
  <sheetPr>
    <tabColor theme="8" tint="0.79998168889431442"/>
  </sheetPr>
  <dimension ref="A1:H22"/>
  <sheetViews>
    <sheetView tabSelected="1" topLeftCell="C1" workbookViewId="0">
      <selection activeCell="H7" sqref="H7"/>
    </sheetView>
  </sheetViews>
  <sheetFormatPr defaultRowHeight="15"/>
  <cols>
    <col min="1" max="1" width="35.7109375" customWidth="1"/>
    <col min="2" max="2" width="72.7109375" customWidth="1"/>
    <col min="3" max="3" width="24.42578125" customWidth="1"/>
    <col min="4" max="4" width="27.28515625" customWidth="1"/>
    <col min="5" max="5" width="21.85546875" customWidth="1"/>
    <col min="6" max="6" width="16.28515625" customWidth="1"/>
    <col min="7" max="7" width="36.28515625" customWidth="1"/>
    <col min="8" max="8" width="27" customWidth="1"/>
  </cols>
  <sheetData>
    <row r="1" spans="1:8" ht="39.75" customHeight="1">
      <c r="A1" s="3" t="s">
        <v>0</v>
      </c>
      <c r="B1" s="4" t="s">
        <v>1</v>
      </c>
      <c r="C1" s="4" t="s">
        <v>2</v>
      </c>
      <c r="D1" s="4" t="s">
        <v>3</v>
      </c>
      <c r="G1" s="55" t="s">
        <v>4</v>
      </c>
      <c r="H1" s="56"/>
    </row>
    <row r="2" spans="1:8" ht="39.75" customHeight="1">
      <c r="A2" s="7" t="s">
        <v>5</v>
      </c>
      <c r="B2" s="7" t="s">
        <v>6</v>
      </c>
      <c r="C2" s="7" t="s">
        <v>7</v>
      </c>
      <c r="D2" s="44">
        <f>5580-7004</f>
        <v>-1424</v>
      </c>
      <c r="G2" s="2" t="s">
        <v>8</v>
      </c>
      <c r="H2" s="46">
        <v>7004</v>
      </c>
    </row>
    <row r="3" spans="1:8" ht="39.75" customHeight="1">
      <c r="A3" s="5" t="s">
        <v>9</v>
      </c>
      <c r="B3" s="5" t="s">
        <v>10</v>
      </c>
      <c r="C3" s="5" t="s">
        <v>11</v>
      </c>
      <c r="D3" s="5">
        <f>5580/7004</f>
        <v>0.79668760708166764</v>
      </c>
      <c r="G3" s="2" t="s">
        <v>12</v>
      </c>
      <c r="H3" s="46">
        <v>6875</v>
      </c>
    </row>
    <row r="4" spans="1:8" ht="39.75" customHeight="1">
      <c r="A4" s="7" t="s">
        <v>13</v>
      </c>
      <c r="B4" s="7" t="s">
        <v>14</v>
      </c>
      <c r="C4" s="7" t="s">
        <v>15</v>
      </c>
      <c r="D4" s="44">
        <f>(1955+1822)/2</f>
        <v>1888.5</v>
      </c>
      <c r="G4" s="2" t="s">
        <v>16</v>
      </c>
      <c r="H4" s="46">
        <v>643</v>
      </c>
    </row>
    <row r="5" spans="1:8" ht="39.75" customHeight="1">
      <c r="A5" s="5" t="s">
        <v>17</v>
      </c>
      <c r="B5" s="5" t="s">
        <v>18</v>
      </c>
      <c r="C5" s="5" t="s">
        <v>19</v>
      </c>
      <c r="D5" s="5">
        <f>12878 / 1888.5</f>
        <v>6.8191686523696058</v>
      </c>
      <c r="G5" s="2" t="s">
        <v>20</v>
      </c>
      <c r="H5" s="46">
        <v>326</v>
      </c>
    </row>
    <row r="6" spans="1:8" ht="39.75" customHeight="1">
      <c r="A6" s="7" t="s">
        <v>21</v>
      </c>
      <c r="B6" s="7" t="s">
        <v>22</v>
      </c>
      <c r="C6" s="7" t="s">
        <v>23</v>
      </c>
      <c r="D6" s="7">
        <f>365/ D5</f>
        <v>53.525586271160115</v>
      </c>
      <c r="G6" s="2" t="s">
        <v>24</v>
      </c>
      <c r="H6" s="47">
        <v>686</v>
      </c>
    </row>
    <row r="7" spans="1:8" ht="39.75" customHeight="1">
      <c r="A7" s="5" t="s">
        <v>25</v>
      </c>
      <c r="B7" s="5" t="s">
        <v>26</v>
      </c>
      <c r="C7" s="5" t="s">
        <v>27</v>
      </c>
      <c r="D7" s="5">
        <f>20058/2072</f>
        <v>9.6805019305019311</v>
      </c>
      <c r="G7" s="8" t="s">
        <v>28</v>
      </c>
      <c r="H7" s="48">
        <f>H2+H3+H4+H5+H6</f>
        <v>15534</v>
      </c>
    </row>
    <row r="8" spans="1:8" ht="39.75" customHeight="1">
      <c r="A8" s="7" t="s">
        <v>29</v>
      </c>
      <c r="B8" s="7" t="s">
        <v>30</v>
      </c>
      <c r="C8" s="7" t="s">
        <v>31</v>
      </c>
      <c r="D8" s="44">
        <f>(2135+2009)/2</f>
        <v>2072</v>
      </c>
      <c r="G8" s="1"/>
    </row>
    <row r="9" spans="1:8" ht="39.75" customHeight="1">
      <c r="A9" s="5" t="s">
        <v>32</v>
      </c>
      <c r="B9" s="5" t="s">
        <v>33</v>
      </c>
      <c r="C9" s="5" t="s">
        <v>34</v>
      </c>
      <c r="D9" s="6">
        <f>15534/16546</f>
        <v>0.9388371811918288</v>
      </c>
      <c r="G9" s="55" t="s">
        <v>35</v>
      </c>
      <c r="H9" s="56"/>
    </row>
    <row r="10" spans="1:8" ht="39.75" customHeight="1">
      <c r="A10" s="7" t="s">
        <v>36</v>
      </c>
      <c r="B10" s="7" t="s">
        <v>37</v>
      </c>
      <c r="C10" s="7" t="s">
        <v>38</v>
      </c>
      <c r="D10" s="44">
        <f>3234-721-1628</f>
        <v>885</v>
      </c>
      <c r="G10" s="2" t="s">
        <v>8</v>
      </c>
      <c r="H10" s="46">
        <v>6930</v>
      </c>
    </row>
    <row r="11" spans="1:8" ht="39.75" customHeight="1">
      <c r="A11" s="5" t="s">
        <v>39</v>
      </c>
      <c r="B11" s="5" t="s">
        <v>40</v>
      </c>
      <c r="C11" s="5" t="s">
        <v>41</v>
      </c>
      <c r="D11" s="5">
        <f>131.15 / 7.55</f>
        <v>17.370860927152318</v>
      </c>
      <c r="G11" s="2" t="s">
        <v>12</v>
      </c>
      <c r="H11" s="46">
        <v>7417</v>
      </c>
    </row>
    <row r="12" spans="1:8" ht="39.75" customHeight="1">
      <c r="A12" s="7" t="s">
        <v>42</v>
      </c>
      <c r="B12" s="7" t="s">
        <v>43</v>
      </c>
      <c r="C12" s="7" t="s">
        <v>44</v>
      </c>
      <c r="D12" s="43">
        <f>7180/20058</f>
        <v>0.35796191045966697</v>
      </c>
      <c r="G12" s="2" t="s">
        <v>16</v>
      </c>
      <c r="H12" s="46">
        <v>669</v>
      </c>
    </row>
    <row r="13" spans="1:8" ht="39.75" customHeight="1">
      <c r="A13" s="5" t="s">
        <v>45</v>
      </c>
      <c r="B13" s="5" t="s">
        <v>46</v>
      </c>
      <c r="C13" s="5" t="s">
        <v>47</v>
      </c>
      <c r="D13" s="6">
        <f>2545/20058</f>
        <v>0.12688204207797388</v>
      </c>
      <c r="G13" s="2" t="s">
        <v>20</v>
      </c>
      <c r="H13" s="46">
        <v>374</v>
      </c>
    </row>
    <row r="14" spans="1:8" ht="39.75" customHeight="1">
      <c r="A14" s="7" t="s">
        <v>48</v>
      </c>
      <c r="B14" s="7" t="s">
        <v>49</v>
      </c>
      <c r="C14" s="7" t="s">
        <v>50</v>
      </c>
      <c r="D14" s="43">
        <f>2545/16945</f>
        <v>0.15019179699026261</v>
      </c>
      <c r="G14" s="2" t="s">
        <v>24</v>
      </c>
      <c r="H14" s="47">
        <v>860</v>
      </c>
    </row>
    <row r="15" spans="1:8" ht="39.75" customHeight="1">
      <c r="A15" s="5" t="s">
        <v>51</v>
      </c>
      <c r="B15" s="5" t="s">
        <v>52</v>
      </c>
      <c r="C15" s="5" t="s">
        <v>53</v>
      </c>
      <c r="D15" s="45">
        <f>(17344+16546)/2</f>
        <v>16945</v>
      </c>
      <c r="G15" s="8" t="s">
        <v>28</v>
      </c>
      <c r="H15" s="48">
        <f>H10+H11+H12+H13+H14</f>
        <v>16250</v>
      </c>
    </row>
    <row r="16" spans="1:8" ht="39.75" customHeight="1">
      <c r="A16" s="7" t="s">
        <v>54</v>
      </c>
      <c r="B16" s="7" t="s">
        <v>55</v>
      </c>
      <c r="C16" s="7" t="s">
        <v>56</v>
      </c>
      <c r="D16" s="7">
        <f>20058/16945</f>
        <v>1.1837120094423135</v>
      </c>
    </row>
    <row r="19" spans="1:4" ht="39" customHeight="1">
      <c r="A19" s="3" t="s">
        <v>0</v>
      </c>
      <c r="B19" s="3" t="s">
        <v>1</v>
      </c>
      <c r="C19" s="3" t="s">
        <v>57</v>
      </c>
      <c r="D19" s="3" t="s">
        <v>3</v>
      </c>
    </row>
    <row r="20" spans="1:4" ht="39" customHeight="1">
      <c r="A20" s="7" t="s">
        <v>45</v>
      </c>
      <c r="B20" s="7" t="s">
        <v>58</v>
      </c>
      <c r="C20" s="7" t="s">
        <v>59</v>
      </c>
      <c r="D20" s="43">
        <f>1764 / 20431</f>
        <v>8.6339386226812198E-2</v>
      </c>
    </row>
    <row r="21" spans="1:4" ht="39" customHeight="1">
      <c r="A21" s="5" t="s">
        <v>60</v>
      </c>
      <c r="B21" s="9" t="s">
        <v>33</v>
      </c>
      <c r="C21" s="5" t="s">
        <v>61</v>
      </c>
      <c r="D21" s="6">
        <f>16250 / 17344</f>
        <v>0.93692343173431736</v>
      </c>
    </row>
    <row r="22" spans="1:4" ht="39" customHeight="1">
      <c r="A22" s="7" t="s">
        <v>36</v>
      </c>
      <c r="B22" s="7" t="s">
        <v>37</v>
      </c>
      <c r="C22" s="7" t="s">
        <v>62</v>
      </c>
      <c r="D22" s="44">
        <f>3542 - 766 - 1588</f>
        <v>1188</v>
      </c>
    </row>
  </sheetData>
  <mergeCells count="2">
    <mergeCell ref="G1:H1"/>
    <mergeCell ref="G9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DFFC1-D861-4CC2-A5F6-C70A55332A01}">
  <sheetPr>
    <tabColor theme="7" tint="0.59999389629810485"/>
  </sheetPr>
  <dimension ref="A1:G42"/>
  <sheetViews>
    <sheetView topLeftCell="A33" workbookViewId="0">
      <selection activeCell="F8" sqref="F8"/>
    </sheetView>
  </sheetViews>
  <sheetFormatPr defaultRowHeight="15"/>
  <cols>
    <col min="1" max="1" width="28.5703125" customWidth="1"/>
    <col min="2" max="2" width="16.5703125" customWidth="1"/>
    <col min="4" max="4" width="20.7109375" customWidth="1"/>
  </cols>
  <sheetData>
    <row r="1" spans="1:7" ht="23.25">
      <c r="A1" s="10" t="s">
        <v>63</v>
      </c>
      <c r="B1" s="36" t="s">
        <v>64</v>
      </c>
    </row>
    <row r="2" spans="1:7">
      <c r="A2" s="13" t="s">
        <v>65</v>
      </c>
      <c r="B2" s="14" t="s">
        <v>66</v>
      </c>
      <c r="D2" s="49" t="s">
        <v>67</v>
      </c>
    </row>
    <row r="3" spans="1:7">
      <c r="A3" s="16" t="s">
        <v>68</v>
      </c>
      <c r="B3" s="18">
        <v>1021</v>
      </c>
      <c r="D3" s="49">
        <f>B3/$B$13</f>
        <v>6.1706756920101538E-2</v>
      </c>
    </row>
    <row r="4" spans="1:7">
      <c r="A4" s="13" t="s">
        <v>69</v>
      </c>
      <c r="B4" s="22">
        <v>2009</v>
      </c>
      <c r="D4" s="49">
        <f t="shared" ref="D4:D42" si="0">B4/$B$13</f>
        <v>0.12141907409645836</v>
      </c>
    </row>
    <row r="5" spans="1:7">
      <c r="A5" s="16" t="s">
        <v>70</v>
      </c>
      <c r="B5" s="37">
        <v>1822</v>
      </c>
      <c r="D5" s="49">
        <f t="shared" si="0"/>
        <v>0.11011724888190499</v>
      </c>
    </row>
    <row r="6" spans="1:7" ht="29.25">
      <c r="A6" s="13" t="s">
        <v>71</v>
      </c>
      <c r="B6" s="21">
        <v>728</v>
      </c>
      <c r="D6" s="49">
        <f t="shared" si="0"/>
        <v>4.3998549498368185E-2</v>
      </c>
    </row>
    <row r="7" spans="1:7">
      <c r="A7" s="16" t="s">
        <v>65</v>
      </c>
      <c r="B7" s="37">
        <v>5580</v>
      </c>
      <c r="D7" s="49">
        <f t="shared" si="0"/>
        <v>0.33724162939683305</v>
      </c>
      <c r="G7" s="35"/>
    </row>
    <row r="8" spans="1:7" ht="29.25">
      <c r="A8" s="13" t="s">
        <v>72</v>
      </c>
      <c r="B8" s="22">
        <v>7513</v>
      </c>
      <c r="D8" s="49">
        <f t="shared" si="0"/>
        <v>0.45406744832587936</v>
      </c>
    </row>
    <row r="9" spans="1:7" ht="29.25">
      <c r="A9" s="16" t="s">
        <v>73</v>
      </c>
      <c r="B9" s="17">
        <v>314</v>
      </c>
      <c r="D9" s="49">
        <f t="shared" si="0"/>
        <v>1.8977396349570894E-2</v>
      </c>
    </row>
    <row r="10" spans="1:7">
      <c r="A10" s="13" t="s">
        <v>74</v>
      </c>
      <c r="B10" s="22">
        <v>1964</v>
      </c>
      <c r="D10" s="49">
        <f t="shared" si="0"/>
        <v>0.11869938353680648</v>
      </c>
    </row>
    <row r="11" spans="1:7">
      <c r="A11" s="16" t="s">
        <v>75</v>
      </c>
      <c r="B11" s="17">
        <v>87</v>
      </c>
      <c r="D11" s="49">
        <f t="shared" si="0"/>
        <v>5.2580684153269676E-3</v>
      </c>
    </row>
    <row r="12" spans="1:7">
      <c r="A12" s="13" t="s">
        <v>76</v>
      </c>
      <c r="B12" s="22">
        <v>1088</v>
      </c>
      <c r="D12" s="49">
        <f t="shared" si="0"/>
        <v>6.5756073975583224E-2</v>
      </c>
    </row>
    <row r="13" spans="1:7">
      <c r="A13" s="16" t="s">
        <v>77</v>
      </c>
      <c r="B13" s="26">
        <v>16546</v>
      </c>
      <c r="D13" s="49">
        <f t="shared" si="0"/>
        <v>1</v>
      </c>
    </row>
    <row r="14" spans="1:7">
      <c r="A14" s="13" t="s">
        <v>8</v>
      </c>
      <c r="B14" s="14" t="s">
        <v>66</v>
      </c>
      <c r="D14" s="50"/>
    </row>
    <row r="15" spans="1:7">
      <c r="A15" s="16" t="s">
        <v>78</v>
      </c>
      <c r="B15" s="17">
        <v>568</v>
      </c>
      <c r="D15" s="49">
        <f t="shared" si="0"/>
        <v>3.4328538619605949E-2</v>
      </c>
    </row>
    <row r="16" spans="1:7">
      <c r="A16" s="13" t="s">
        <v>79</v>
      </c>
      <c r="B16" s="22">
        <v>3715</v>
      </c>
      <c r="D16" s="49">
        <f t="shared" si="0"/>
        <v>0.22452556509126073</v>
      </c>
    </row>
    <row r="17" spans="1:4" ht="29.25">
      <c r="A17" s="16" t="s">
        <v>80</v>
      </c>
      <c r="B17" s="37">
        <v>2319</v>
      </c>
      <c r="D17" s="49">
        <f t="shared" si="0"/>
        <v>0.14015472017406019</v>
      </c>
    </row>
    <row r="18" spans="1:4">
      <c r="A18" s="13" t="s">
        <v>81</v>
      </c>
      <c r="B18" s="21">
        <v>402</v>
      </c>
      <c r="D18" s="49">
        <f t="shared" si="0"/>
        <v>2.4295902332890123E-2</v>
      </c>
    </row>
    <row r="19" spans="1:4">
      <c r="A19" s="16" t="s">
        <v>8</v>
      </c>
      <c r="B19" s="37">
        <v>7004</v>
      </c>
      <c r="D19" s="49">
        <f t="shared" si="0"/>
        <v>0.42330472621781701</v>
      </c>
    </row>
    <row r="20" spans="1:4">
      <c r="A20" s="13" t="s">
        <v>82</v>
      </c>
      <c r="B20" s="22">
        <v>6875</v>
      </c>
      <c r="D20" s="49">
        <f t="shared" si="0"/>
        <v>0.41550827994681494</v>
      </c>
    </row>
    <row r="21" spans="1:4">
      <c r="A21" s="16" t="s">
        <v>16</v>
      </c>
      <c r="B21" s="17">
        <v>643</v>
      </c>
      <c r="D21" s="49">
        <f t="shared" si="0"/>
        <v>3.8861356219025749E-2</v>
      </c>
    </row>
    <row r="22" spans="1:4">
      <c r="A22" s="13" t="s">
        <v>20</v>
      </c>
      <c r="B22" s="21">
        <v>326</v>
      </c>
      <c r="D22" s="49">
        <f t="shared" si="0"/>
        <v>1.9702647165478062E-2</v>
      </c>
    </row>
    <row r="23" spans="1:4">
      <c r="A23" s="16" t="s">
        <v>24</v>
      </c>
      <c r="B23" s="17">
        <v>686</v>
      </c>
      <c r="D23" s="49">
        <f t="shared" si="0"/>
        <v>4.1460171642693097E-2</v>
      </c>
    </row>
    <row r="24" spans="1:4" ht="29.25">
      <c r="A24" s="13" t="s">
        <v>83</v>
      </c>
      <c r="B24" s="38">
        <v>37</v>
      </c>
      <c r="D24" s="49">
        <f t="shared" si="0"/>
        <v>2.2361900157137678E-3</v>
      </c>
    </row>
    <row r="25" spans="1:4" ht="29.25">
      <c r="A25" s="16" t="s">
        <v>84</v>
      </c>
      <c r="B25" s="18">
        <v>0</v>
      </c>
      <c r="D25" s="49">
        <f t="shared" si="0"/>
        <v>0</v>
      </c>
    </row>
    <row r="26" spans="1:4">
      <c r="A26" s="13" t="s">
        <v>85</v>
      </c>
      <c r="B26" s="21">
        <v>0</v>
      </c>
      <c r="D26" s="49">
        <f t="shared" si="0"/>
        <v>0</v>
      </c>
    </row>
    <row r="27" spans="1:4" ht="29.25">
      <c r="A27" s="16" t="s">
        <v>86</v>
      </c>
      <c r="B27" s="39">
        <v>20000000</v>
      </c>
      <c r="D27" s="49">
        <f t="shared" si="0"/>
        <v>1208.7513598452799</v>
      </c>
    </row>
    <row r="28" spans="1:4" ht="29.25">
      <c r="A28" s="13" t="s">
        <v>87</v>
      </c>
      <c r="B28" s="22">
        <v>1200000000</v>
      </c>
      <c r="D28" s="49">
        <f t="shared" si="0"/>
        <v>72525.081590716785</v>
      </c>
    </row>
    <row r="29" spans="1:4">
      <c r="A29" s="16" t="s">
        <v>88</v>
      </c>
      <c r="B29" s="37">
        <v>378600000</v>
      </c>
      <c r="D29" s="49">
        <f t="shared" si="0"/>
        <v>22881.663241871149</v>
      </c>
    </row>
    <row r="30" spans="1:4" ht="29.25">
      <c r="A30" s="13" t="s">
        <v>89</v>
      </c>
      <c r="B30" s="40">
        <v>1.25</v>
      </c>
      <c r="D30" s="49">
        <f t="shared" si="0"/>
        <v>7.5546959990329985E-5</v>
      </c>
    </row>
    <row r="31" spans="1:4">
      <c r="A31" s="16" t="s">
        <v>90</v>
      </c>
      <c r="B31" s="41" t="s">
        <v>66</v>
      </c>
      <c r="D31" s="50"/>
    </row>
    <row r="32" spans="1:4" ht="43.5">
      <c r="A32" s="13" t="s">
        <v>91</v>
      </c>
      <c r="B32" s="38">
        <v>0</v>
      </c>
      <c r="D32" s="49">
        <f t="shared" si="0"/>
        <v>0</v>
      </c>
    </row>
    <row r="33" spans="1:4" ht="72.75">
      <c r="A33" s="16" t="s">
        <v>92</v>
      </c>
      <c r="B33" s="17">
        <v>473</v>
      </c>
      <c r="D33" s="49">
        <f t="shared" si="0"/>
        <v>2.8586969660340869E-2</v>
      </c>
    </row>
    <row r="34" spans="1:4">
      <c r="A34" s="13" t="s">
        <v>93</v>
      </c>
      <c r="B34" s="38">
        <v>862</v>
      </c>
      <c r="D34" s="49">
        <f t="shared" si="0"/>
        <v>5.2097183609331563E-2</v>
      </c>
    </row>
    <row r="35" spans="1:4" ht="57.75">
      <c r="A35" s="16" t="s">
        <v>94</v>
      </c>
      <c r="B35" s="37">
        <v>46800000</v>
      </c>
      <c r="D35" s="49">
        <f t="shared" si="0"/>
        <v>2828.4781820379549</v>
      </c>
    </row>
    <row r="36" spans="1:4">
      <c r="A36" s="13" t="s">
        <v>95</v>
      </c>
      <c r="B36" s="38">
        <v>-5986</v>
      </c>
      <c r="D36" s="49">
        <f t="shared" si="0"/>
        <v>-0.36177928200169224</v>
      </c>
    </row>
    <row r="37" spans="1:4">
      <c r="A37" s="16" t="s">
        <v>96</v>
      </c>
      <c r="B37" s="37">
        <v>9257</v>
      </c>
      <c r="D37" s="49">
        <f t="shared" si="0"/>
        <v>0.55947056690438779</v>
      </c>
    </row>
    <row r="38" spans="1:4" ht="29.25">
      <c r="A38" s="13" t="s">
        <v>97</v>
      </c>
      <c r="B38" s="22">
        <v>-3766</v>
      </c>
      <c r="D38" s="49">
        <f t="shared" si="0"/>
        <v>-0.2276078810588662</v>
      </c>
    </row>
    <row r="39" spans="1:4" ht="29.25">
      <c r="A39" s="16" t="s">
        <v>98</v>
      </c>
      <c r="B39" s="25">
        <v>840</v>
      </c>
      <c r="D39" s="49">
        <f t="shared" si="0"/>
        <v>5.0767557113501754E-2</v>
      </c>
    </row>
    <row r="40" spans="1:4">
      <c r="A40" s="13" t="s">
        <v>99</v>
      </c>
      <c r="B40" s="21">
        <v>135</v>
      </c>
      <c r="D40" s="49">
        <f t="shared" si="0"/>
        <v>8.1590716789556386E-3</v>
      </c>
    </row>
    <row r="41" spans="1:4">
      <c r="A41" s="16" t="s">
        <v>100</v>
      </c>
      <c r="B41" s="25">
        <v>975</v>
      </c>
      <c r="D41" s="49">
        <f t="shared" si="0"/>
        <v>5.8926628792457393E-2</v>
      </c>
    </row>
    <row r="42" spans="1:4" ht="29.25">
      <c r="A42" s="32" t="s">
        <v>101</v>
      </c>
      <c r="B42" s="42">
        <v>16546</v>
      </c>
      <c r="D42" s="49">
        <f t="shared" si="0"/>
        <v>1</v>
      </c>
    </row>
  </sheetData>
  <hyperlinks>
    <hyperlink ref="A2" r:id="rId1" xr:uid="{C93C0486-5038-4ABC-B89F-71B20D7C5A73}"/>
    <hyperlink ref="A3" r:id="rId2" xr:uid="{7AD4B72D-64D8-45A3-940E-5D7B6230CDB5}"/>
    <hyperlink ref="A4" r:id="rId3" xr:uid="{634333D7-FB54-40F8-9328-4B2668BBFD46}"/>
    <hyperlink ref="A5" r:id="rId4" xr:uid="{7F56F6AD-4E2E-4E41-8454-B83B098D4BD8}"/>
    <hyperlink ref="A6" r:id="rId5" xr:uid="{C7604C50-5B55-4E89-9172-412D2BE39EF8}"/>
    <hyperlink ref="A7" r:id="rId6" xr:uid="{6B37697D-B8DF-4C7D-AAE1-A2C3263FCF7A}"/>
    <hyperlink ref="A8" r:id="rId7" xr:uid="{3AD96A92-0438-4DFE-A8DA-097F4D0B25F2}"/>
    <hyperlink ref="A9" r:id="rId8" xr:uid="{65822BC8-D184-452A-823F-050E22B28421}"/>
    <hyperlink ref="A10" r:id="rId9" xr:uid="{D0C0AEE9-22D9-4E00-A889-57ED42C29CA5}"/>
    <hyperlink ref="A11" r:id="rId10" xr:uid="{016BFC43-B9A6-4787-89B7-B4369433E959}"/>
    <hyperlink ref="A12" r:id="rId11" xr:uid="{569D013F-0C1F-4A75-9CEF-77CC40473CE2}"/>
    <hyperlink ref="A13" r:id="rId12" xr:uid="{38826316-0256-4F4D-81EA-8D6D24A13971}"/>
    <hyperlink ref="A14" r:id="rId13" xr:uid="{70EEB144-9FB9-445F-ABFB-092F391659ED}"/>
    <hyperlink ref="A15" r:id="rId14" xr:uid="{0FF73FC8-C6B3-4CDB-BFDD-F72A8AE31FE7}"/>
    <hyperlink ref="A16" r:id="rId15" xr:uid="{1C090D02-4272-4EAD-B13F-9B1E943C9884}"/>
    <hyperlink ref="A17" r:id="rId16" xr:uid="{BBD946BB-CE09-4C66-90A2-860C4F71E502}"/>
    <hyperlink ref="A18" r:id="rId17" xr:uid="{270D84F2-A5E5-4886-8014-437972A091E0}"/>
    <hyperlink ref="A19" r:id="rId18" xr:uid="{60F89472-E1F7-4025-ACA6-1F4339F704AB}"/>
    <hyperlink ref="A20" r:id="rId19" xr:uid="{E55D4479-33EE-47B3-9ADA-12A63D9EBE85}"/>
    <hyperlink ref="A21" r:id="rId20" xr:uid="{6CDB228D-C104-4DD0-B1C1-3D538C3D58E8}"/>
    <hyperlink ref="A22" r:id="rId21" xr:uid="{1FB80033-02D3-46AE-BB8C-A5CB9BEC271C}"/>
    <hyperlink ref="A23" r:id="rId22" xr:uid="{B4921C9C-0B41-43A3-9C51-01F8266BE917}"/>
    <hyperlink ref="A24" r:id="rId23" xr:uid="{EE18597A-260B-4055-8FEA-B7D7EE079802}"/>
    <hyperlink ref="A25" r:id="rId24" xr:uid="{0918F8D7-B5C4-45FE-9B59-118547A48880}"/>
    <hyperlink ref="A26" r:id="rId25" xr:uid="{EC92013B-C9D2-48C5-B380-47B3C945B233}"/>
    <hyperlink ref="A27" r:id="rId26" xr:uid="{08B618CA-53E7-4D36-873E-6A4D2A72AFF3}"/>
    <hyperlink ref="A28" r:id="rId27" xr:uid="{A0806148-543E-4DE1-8243-CEE139CF7EC7}"/>
    <hyperlink ref="A29" r:id="rId28" xr:uid="{D82CFFC7-F177-436B-AA6B-D01F25193E4F}"/>
    <hyperlink ref="A30" r:id="rId29" xr:uid="{27C818B6-47EF-4DAB-920B-2E74A1549FE5}"/>
    <hyperlink ref="A31" r:id="rId30" xr:uid="{3C23BF98-5D26-42BC-91E6-4124542AC36D}"/>
    <hyperlink ref="A32" r:id="rId31" xr:uid="{681BAD09-0FEC-490B-82CC-8DA260D6AC4C}"/>
    <hyperlink ref="A33" r:id="rId32" xr:uid="{1E3BDDB1-49D2-4CE0-8EC6-88E5A9AF5767}"/>
    <hyperlink ref="A34" r:id="rId33" xr:uid="{89FA3BEC-BE46-46EE-9297-662D24714D38}"/>
    <hyperlink ref="A35" r:id="rId34" xr:uid="{C099BE72-8924-4059-8295-49D41EC672AE}"/>
    <hyperlink ref="A36" r:id="rId35" xr:uid="{543E0F5F-4CFE-47A3-8962-75CF14D2556B}"/>
    <hyperlink ref="A37" r:id="rId36" xr:uid="{431C0152-3556-40B0-A965-C482968E8A25}"/>
    <hyperlink ref="A38" r:id="rId37" xr:uid="{4C8E923B-21F0-42FE-88CA-B4D2385A99C5}"/>
    <hyperlink ref="A39" r:id="rId38" xr:uid="{C8C130C8-F934-4214-AADC-633380271708}"/>
    <hyperlink ref="A40" r:id="rId39" xr:uid="{234D9A35-3FD5-48D8-A9EB-1A05418D1E74}"/>
    <hyperlink ref="A41" r:id="rId40" xr:uid="{1E95BCE4-17C7-4892-BFAC-5CA17645E84A}"/>
    <hyperlink ref="A42" r:id="rId41" xr:uid="{038DA717-71AA-4E55-90AD-258EEDA95E6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249977111117893"/>
  </sheetPr>
  <dimension ref="A1:H24"/>
  <sheetViews>
    <sheetView topLeftCell="A32" workbookViewId="0">
      <selection activeCell="H3" sqref="H3"/>
    </sheetView>
  </sheetViews>
  <sheetFormatPr defaultRowHeight="15"/>
  <cols>
    <col min="1" max="1" width="32" customWidth="1"/>
    <col min="2" max="2" width="18.140625" customWidth="1"/>
    <col min="3" max="3" width="18.7109375" customWidth="1"/>
    <col min="4" max="4" width="21.42578125" customWidth="1"/>
    <col min="5" max="5" width="9" bestFit="1" customWidth="1"/>
    <col min="7" max="7" width="10.7109375" customWidth="1"/>
    <col min="8" max="8" width="12.5703125" customWidth="1"/>
  </cols>
  <sheetData>
    <row r="1" spans="1:8">
      <c r="A1" s="57" t="s">
        <v>102</v>
      </c>
      <c r="B1" s="58" t="s">
        <v>103</v>
      </c>
      <c r="C1" s="58"/>
      <c r="D1" s="59"/>
    </row>
    <row r="2" spans="1:8">
      <c r="A2" s="60"/>
      <c r="B2" s="11" t="s">
        <v>64</v>
      </c>
      <c r="C2" s="11" t="s">
        <v>104</v>
      </c>
      <c r="D2" s="12" t="s">
        <v>105</v>
      </c>
    </row>
    <row r="3" spans="1:8">
      <c r="A3" s="13" t="s">
        <v>106</v>
      </c>
      <c r="B3" s="14" t="s">
        <v>66</v>
      </c>
      <c r="C3" s="14" t="s">
        <v>66</v>
      </c>
      <c r="D3" s="15" t="s">
        <v>66</v>
      </c>
      <c r="G3" s="54" t="s">
        <v>107</v>
      </c>
      <c r="H3" s="54" t="s">
        <v>108</v>
      </c>
    </row>
    <row r="4" spans="1:8">
      <c r="A4" s="16" t="s">
        <v>109</v>
      </c>
      <c r="B4" s="18">
        <v>20058</v>
      </c>
      <c r="C4" s="18">
        <v>20431</v>
      </c>
      <c r="D4" s="20">
        <v>20175</v>
      </c>
      <c r="G4" s="52">
        <f>B4-C4</f>
        <v>-373</v>
      </c>
      <c r="H4" s="53">
        <f>G4/C4</f>
        <v>-1.825657089716607E-2</v>
      </c>
    </row>
    <row r="5" spans="1:8">
      <c r="A5" s="13" t="s">
        <v>110</v>
      </c>
      <c r="B5" s="22">
        <v>12878</v>
      </c>
      <c r="C5" s="22">
        <v>13399</v>
      </c>
      <c r="D5" s="24">
        <v>13956</v>
      </c>
      <c r="G5" s="52">
        <f t="shared" ref="G5:G23" si="0">B5-C5</f>
        <v>-521</v>
      </c>
      <c r="H5" s="53">
        <f t="shared" ref="H5:H23" si="1">G5/C5</f>
        <v>-3.8883498768564818E-2</v>
      </c>
    </row>
    <row r="6" spans="1:8">
      <c r="A6" s="16" t="s">
        <v>111</v>
      </c>
      <c r="B6" s="26">
        <v>7180</v>
      </c>
      <c r="C6" s="26">
        <v>7032</v>
      </c>
      <c r="D6" s="27">
        <v>6219</v>
      </c>
      <c r="G6" s="52">
        <f t="shared" si="0"/>
        <v>148</v>
      </c>
      <c r="H6" s="53">
        <f t="shared" si="1"/>
        <v>2.104664391353811E-2</v>
      </c>
    </row>
    <row r="7" spans="1:8" ht="29.25">
      <c r="A7" s="13" t="s">
        <v>112</v>
      </c>
      <c r="B7" s="22">
        <v>4311</v>
      </c>
      <c r="C7" s="22">
        <v>3961</v>
      </c>
      <c r="D7" s="24">
        <v>3581</v>
      </c>
      <c r="G7" s="52">
        <f t="shared" si="0"/>
        <v>350</v>
      </c>
      <c r="H7" s="53">
        <f t="shared" si="1"/>
        <v>8.8361524867457714E-2</v>
      </c>
    </row>
    <row r="8" spans="1:8">
      <c r="A8" s="16" t="s">
        <v>113</v>
      </c>
      <c r="B8" s="17">
        <v>97</v>
      </c>
      <c r="C8" s="17">
        <v>658</v>
      </c>
      <c r="D8" s="19">
        <v>0</v>
      </c>
      <c r="G8" s="52">
        <f t="shared" si="0"/>
        <v>-561</v>
      </c>
      <c r="H8" s="53">
        <f t="shared" si="1"/>
        <v>-0.85258358662613987</v>
      </c>
    </row>
    <row r="9" spans="1:8">
      <c r="A9" s="13" t="s">
        <v>114</v>
      </c>
      <c r="B9" s="21">
        <v>-438</v>
      </c>
      <c r="C9" s="21">
        <v>69</v>
      </c>
      <c r="D9" s="23">
        <v>-43</v>
      </c>
      <c r="G9" s="52">
        <f t="shared" si="0"/>
        <v>-507</v>
      </c>
      <c r="H9" s="53">
        <f t="shared" si="1"/>
        <v>-7.3478260869565215</v>
      </c>
    </row>
    <row r="10" spans="1:8">
      <c r="A10" s="16" t="s">
        <v>115</v>
      </c>
      <c r="B10" s="26">
        <v>3210</v>
      </c>
      <c r="C10" s="26">
        <v>2344</v>
      </c>
      <c r="D10" s="27">
        <v>2681</v>
      </c>
      <c r="G10" s="52">
        <f t="shared" si="0"/>
        <v>866</v>
      </c>
      <c r="H10" s="53">
        <f t="shared" si="1"/>
        <v>0.36945392491467577</v>
      </c>
    </row>
    <row r="11" spans="1:8">
      <c r="A11" s="13" t="s">
        <v>116</v>
      </c>
      <c r="B11" s="21">
        <v>-61</v>
      </c>
      <c r="C11" s="21">
        <v>-96</v>
      </c>
      <c r="D11" s="23">
        <v>-73</v>
      </c>
      <c r="G11" s="52">
        <f t="shared" si="0"/>
        <v>35</v>
      </c>
      <c r="H11" s="53">
        <f t="shared" si="1"/>
        <v>-0.36458333333333331</v>
      </c>
    </row>
    <row r="12" spans="1:8">
      <c r="A12" s="16" t="s">
        <v>117</v>
      </c>
      <c r="B12" s="17">
        <v>48</v>
      </c>
      <c r="C12" s="17">
        <v>66</v>
      </c>
      <c r="D12" s="19">
        <v>14</v>
      </c>
      <c r="G12" s="52">
        <f t="shared" si="0"/>
        <v>-18</v>
      </c>
      <c r="H12" s="53">
        <f t="shared" si="1"/>
        <v>-0.27272727272727271</v>
      </c>
    </row>
    <row r="13" spans="1:8">
      <c r="A13" s="13" t="s">
        <v>118</v>
      </c>
      <c r="B13" s="21">
        <v>-270</v>
      </c>
      <c r="C13" s="21">
        <v>-293</v>
      </c>
      <c r="D13" s="23">
        <v>-282</v>
      </c>
      <c r="G13" s="52">
        <f t="shared" si="0"/>
        <v>23</v>
      </c>
      <c r="H13" s="53">
        <f t="shared" si="1"/>
        <v>-7.8498293515358364E-2</v>
      </c>
    </row>
    <row r="14" spans="1:8" ht="29.25">
      <c r="A14" s="16" t="s">
        <v>119</v>
      </c>
      <c r="B14" s="26">
        <v>2927</v>
      </c>
      <c r="C14" s="26">
        <v>2021</v>
      </c>
      <c r="D14" s="27">
        <v>2340</v>
      </c>
      <c r="G14" s="52">
        <f t="shared" si="0"/>
        <v>906</v>
      </c>
      <c r="H14" s="53">
        <f t="shared" si="1"/>
        <v>0.44829292429490353</v>
      </c>
    </row>
    <row r="15" spans="1:8">
      <c r="A15" s="13" t="s">
        <v>120</v>
      </c>
      <c r="B15" s="21">
        <v>-565</v>
      </c>
      <c r="C15" s="21">
        <v>-453</v>
      </c>
      <c r="D15" s="23">
        <v>-495</v>
      </c>
      <c r="G15" s="52">
        <f t="shared" si="0"/>
        <v>-112</v>
      </c>
      <c r="H15" s="53">
        <f t="shared" si="1"/>
        <v>0.24724061810154527</v>
      </c>
    </row>
    <row r="16" spans="1:8">
      <c r="A16" s="16" t="s">
        <v>121</v>
      </c>
      <c r="B16" s="26">
        <v>2362</v>
      </c>
      <c r="C16" s="26">
        <v>1568</v>
      </c>
      <c r="D16" s="27">
        <v>1845</v>
      </c>
      <c r="G16" s="52">
        <f t="shared" si="0"/>
        <v>794</v>
      </c>
      <c r="H16" s="53">
        <f t="shared" si="1"/>
        <v>0.50637755102040816</v>
      </c>
    </row>
    <row r="17" spans="1:8" ht="29.25">
      <c r="A17" s="13" t="s">
        <v>122</v>
      </c>
      <c r="B17" s="21">
        <v>216</v>
      </c>
      <c r="C17" s="21">
        <v>196</v>
      </c>
      <c r="D17" s="23">
        <v>116</v>
      </c>
      <c r="G17" s="52">
        <f t="shared" si="0"/>
        <v>20</v>
      </c>
      <c r="H17" s="53">
        <f t="shared" si="1"/>
        <v>0.10204081632653061</v>
      </c>
    </row>
    <row r="18" spans="1:8">
      <c r="A18" s="16" t="s">
        <v>123</v>
      </c>
      <c r="B18" s="26">
        <v>2578</v>
      </c>
      <c r="C18" s="26">
        <v>1764</v>
      </c>
      <c r="D18" s="27">
        <v>1961</v>
      </c>
      <c r="G18" s="52">
        <f t="shared" si="0"/>
        <v>814</v>
      </c>
      <c r="H18" s="53">
        <f t="shared" si="1"/>
        <v>0.46145124716553287</v>
      </c>
    </row>
    <row r="19" spans="1:8" ht="29.25">
      <c r="A19" s="13" t="s">
        <v>124</v>
      </c>
      <c r="B19" s="21">
        <v>-33</v>
      </c>
      <c r="C19" s="21">
        <v>0</v>
      </c>
      <c r="D19" s="23">
        <v>-27</v>
      </c>
      <c r="G19" s="52">
        <f t="shared" si="0"/>
        <v>-33</v>
      </c>
      <c r="H19" s="53"/>
    </row>
    <row r="20" spans="1:8">
      <c r="A20" s="16" t="s">
        <v>125</v>
      </c>
      <c r="B20" s="28">
        <v>2545</v>
      </c>
      <c r="C20" s="28">
        <v>1764</v>
      </c>
      <c r="D20" s="29">
        <v>1934</v>
      </c>
      <c r="G20" s="52">
        <f t="shared" si="0"/>
        <v>781</v>
      </c>
      <c r="H20" s="53">
        <f t="shared" si="1"/>
        <v>0.44274376417233557</v>
      </c>
    </row>
    <row r="21" spans="1:8">
      <c r="A21" s="13" t="s">
        <v>126</v>
      </c>
      <c r="B21" s="14" t="s">
        <v>66</v>
      </c>
      <c r="C21" s="14" t="s">
        <v>66</v>
      </c>
      <c r="D21" s="15" t="s">
        <v>66</v>
      </c>
      <c r="G21" s="52"/>
      <c r="H21" s="53"/>
    </row>
    <row r="22" spans="1:8">
      <c r="A22" s="16" t="s">
        <v>127</v>
      </c>
      <c r="B22" s="30">
        <v>7.58</v>
      </c>
      <c r="C22" s="30">
        <v>5.22</v>
      </c>
      <c r="D22" s="31">
        <v>5.73</v>
      </c>
      <c r="G22" s="52">
        <f t="shared" si="0"/>
        <v>2.3600000000000003</v>
      </c>
      <c r="H22" s="53">
        <f t="shared" si="1"/>
        <v>0.45210727969348669</v>
      </c>
    </row>
    <row r="23" spans="1:8">
      <c r="A23" s="32" t="s">
        <v>128</v>
      </c>
      <c r="B23" s="33">
        <v>7.55</v>
      </c>
      <c r="C23" s="33">
        <v>5.21</v>
      </c>
      <c r="D23" s="34">
        <v>5.72</v>
      </c>
      <c r="G23" s="52">
        <f t="shared" si="0"/>
        <v>2.34</v>
      </c>
      <c r="H23" s="53">
        <f t="shared" si="1"/>
        <v>0.44913627639155468</v>
      </c>
    </row>
    <row r="24" spans="1:8">
      <c r="G24" s="51"/>
      <c r="H24" s="51"/>
    </row>
  </sheetData>
  <mergeCells count="2">
    <mergeCell ref="A1:A2"/>
    <mergeCell ref="B1:D1"/>
  </mergeCells>
  <hyperlinks>
    <hyperlink ref="A3" r:id="rId1" xr:uid="{7DDCC08A-2E05-4E10-878C-2D67D16F3D0D}"/>
    <hyperlink ref="A4" r:id="rId2" xr:uid="{FBD21F74-FC1F-4003-BC98-7E743F6A0DF3}"/>
    <hyperlink ref="A5" r:id="rId3" xr:uid="{281557A6-352B-4608-A9B7-8BB7F88D5093}"/>
    <hyperlink ref="A6" r:id="rId4" xr:uid="{3C574A1A-F43D-4E52-9B29-F456507C4B64}"/>
    <hyperlink ref="A7" r:id="rId5" xr:uid="{CB24144C-2046-4243-909A-76D3F2D0C243}"/>
    <hyperlink ref="A8" r:id="rId6" xr:uid="{BA945D19-4B0A-4431-9D2A-6E052EB5B1DD}"/>
    <hyperlink ref="A9" r:id="rId7" xr:uid="{6EBE8DC6-4781-4790-A141-0E9DC0FAB824}"/>
    <hyperlink ref="A10" r:id="rId8" xr:uid="{E00916D3-EBA0-4193-9495-89822B2EC84E}"/>
    <hyperlink ref="A11" r:id="rId9" xr:uid="{E31EBDD1-0752-47BF-8F32-4E31A7F3CEF8}"/>
    <hyperlink ref="A12" r:id="rId10" xr:uid="{C59E9547-2553-4010-8B13-E8F24B514855}"/>
    <hyperlink ref="A13" r:id="rId11" xr:uid="{0B50F146-94A4-4104-B8C9-D50DB60EF548}"/>
    <hyperlink ref="A14" r:id="rId12" xr:uid="{3BB01442-B9EC-4A3F-BACF-888612F2290A}"/>
    <hyperlink ref="A15" r:id="rId13" xr:uid="{4B2BC663-B839-412B-BD72-B1778934124F}"/>
    <hyperlink ref="A16" r:id="rId14" xr:uid="{6A6CEE38-35BA-4769-91C9-3FCD9CD1D9C1}"/>
    <hyperlink ref="A17" r:id="rId15" xr:uid="{F67F8922-ED21-436B-A78D-F21D98AAEFB0}"/>
    <hyperlink ref="A18" r:id="rId16" xr:uid="{015D6F57-9FA8-4D99-83C2-644F8356648B}"/>
    <hyperlink ref="A19" r:id="rId17" xr:uid="{84CDEF8A-B3FE-45BF-A4DA-B3A666C90F03}"/>
    <hyperlink ref="A20" r:id="rId18" xr:uid="{F9F59185-6FFB-4602-A786-2FB64090AF52}"/>
    <hyperlink ref="A21" r:id="rId19" xr:uid="{F06FAD85-F503-4ECC-9982-BEEF4685B432}"/>
    <hyperlink ref="A22" r:id="rId20" xr:uid="{61195933-09F9-4453-BC71-E8857C22B006}"/>
    <hyperlink ref="A23" r:id="rId21" xr:uid="{76F4942F-AD60-43F1-BD71-4A6A51801C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2025-10-20T20:46:34Z</dcterms:created>
  <dcterms:modified xsi:type="dcterms:W3CDTF">2026-07-21T22:47:35Z</dcterms:modified>
  <cp:category/>
  <cp:contentStatus/>
</cp:coreProperties>
</file>